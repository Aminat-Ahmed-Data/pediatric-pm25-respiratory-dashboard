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06928F4F-39AB-4D72-8E6C-25F5071717C5}" xr6:coauthVersionLast="47" xr6:coauthVersionMax="47" xr10:uidLastSave="{00000000-0000-0000-0000-000000000000}"/>
  <bookViews>
    <workbookView xWindow="-120" yWindow="-120" windowWidth="20730" windowHeight="11160" activeTab="2" xr2:uid="{0C1A40AA-6E40-44CA-BE37-411D59343C4E}"/>
  </bookViews>
  <sheets>
    <sheet name="stg_data" sheetId="2" r:id="rId1"/>
    <sheet name="calc_sheets" sheetId="1" r:id="rId2"/>
    <sheet name="dashboard" sheetId="3" r:id="rId3"/>
  </sheets>
  <definedNames>
    <definedName name="ExternalData_1" localSheetId="0" hidden="1">stg_data!$A$1:$G$6</definedName>
    <definedName name="Slicer_admission_date">#N/A</definedName>
    <definedName name="Slicer_hospital_zo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3" l="1"/>
  <c r="B2" i="3"/>
  <c r="H5" i="2"/>
  <c r="H2" i="2"/>
  <c r="H3" i="2"/>
  <c r="H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76033-5142-4AE7-90E7-7190F40862F9}" keepAlive="1" name="Query - clean_pediatric_admissions" description="Connection to the 'clean_pediatric_admissions' query in the workbook." type="5" refreshedVersion="8" background="1" saveData="1">
    <dbPr connection="Provider=Microsoft.Mashup.OleDb.1;Data Source=$Workbook$;Location=clean_pediatric_admissions;Extended Properties=&quot;&quot;" command="SELECT * FROM [clean_pediatric_admissions]"/>
  </connection>
</connections>
</file>

<file path=xl/sharedStrings.xml><?xml version="1.0" encoding="utf-8"?>
<sst xmlns="http://schemas.openxmlformats.org/spreadsheetml/2006/main" count="27" uniqueCount="21">
  <si>
    <t>admission_id</t>
  </si>
  <si>
    <t>admission_date</t>
  </si>
  <si>
    <t>age</t>
  </si>
  <si>
    <t>respiratory_condition</t>
  </si>
  <si>
    <t>pm25_level</t>
  </si>
  <si>
    <t>hospital_zone</t>
  </si>
  <si>
    <t>ventilator_used</t>
  </si>
  <si>
    <t>Asthma</t>
  </si>
  <si>
    <t>North</t>
  </si>
  <si>
    <t>Bronchitis</t>
  </si>
  <si>
    <t>South</t>
  </si>
  <si>
    <t>Pneumonia</t>
  </si>
  <si>
    <t>East</t>
  </si>
  <si>
    <t>Row Labels</t>
  </si>
  <si>
    <t>(blank)</t>
  </si>
  <si>
    <t>Grand Total</t>
  </si>
  <si>
    <t>Average of pm25_level</t>
  </si>
  <si>
    <t>ventilator_numeric</t>
  </si>
  <si>
    <t>Average of ventilator_numeric</t>
  </si>
  <si>
    <t>City-Wide Ventilator Usage Rate</t>
  </si>
  <si>
    <r>
      <t>City-Wide Average PM2.5 Level (</t>
    </r>
    <r>
      <rPr>
        <sz val="12"/>
        <color theme="1"/>
        <rFont val="Calibri"/>
        <family val="2"/>
      </rPr>
      <t>µg/m³</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</si>
</sst>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theme="1"/>
      <name val="Calibri"/>
      <family val="2"/>
      <scheme val="minor"/>
    </font>
    <font>
      <sz val="36"/>
      <color theme="1"/>
      <name val="Calibri"/>
      <family val="2"/>
      <scheme val="minor"/>
    </font>
    <font>
      <sz val="12"/>
      <color theme="1"/>
      <name val="Calibri"/>
      <family val="2"/>
      <scheme val="minor"/>
    </font>
    <font>
      <sz val="12"/>
      <color theme="1"/>
      <name val="Calibri"/>
      <family val="2"/>
    </font>
  </fonts>
  <fills count="4">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4" fillId="0" borderId="0" xfId="0" applyFont="1"/>
    <xf numFmtId="14" fontId="0" fillId="0" borderId="0" xfId="0" applyNumberFormat="1" applyAlignment="1">
      <alignment horizontal="left" indent="1"/>
    </xf>
    <xf numFmtId="0" fontId="0" fillId="0" borderId="0" xfId="0" applyAlignment="1">
      <alignment horizontal="left" indent="1"/>
    </xf>
    <xf numFmtId="9" fontId="3" fillId="2" borderId="1" xfId="1" applyFont="1" applyFill="1" applyBorder="1" applyAlignment="1">
      <alignment horizontal="center" vertical="center"/>
    </xf>
    <xf numFmtId="9" fontId="3" fillId="2" borderId="2" xfId="1" applyFont="1" applyFill="1" applyBorder="1" applyAlignment="1">
      <alignment horizontal="center" vertical="center"/>
    </xf>
    <xf numFmtId="9" fontId="3" fillId="2" borderId="3" xfId="1" applyFont="1" applyFill="1" applyBorder="1" applyAlignment="1">
      <alignment horizontal="center" vertical="center"/>
    </xf>
    <xf numFmtId="9" fontId="3" fillId="2" borderId="4" xfId="1" applyFont="1" applyFill="1" applyBorder="1" applyAlignment="1">
      <alignment horizontal="center" vertical="center"/>
    </xf>
    <xf numFmtId="9" fontId="3" fillId="2" borderId="5" xfId="1" applyFont="1" applyFill="1" applyBorder="1" applyAlignment="1">
      <alignment horizontal="center" vertical="center"/>
    </xf>
    <xf numFmtId="9" fontId="3" fillId="2" borderId="6" xfId="1"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2"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2" fontId="3" fillId="3" borderId="4" xfId="0" applyNumberFormat="1" applyFont="1" applyFill="1" applyBorder="1" applyAlignment="1">
      <alignment horizontal="center" vertical="center"/>
    </xf>
    <xf numFmtId="2" fontId="3" fillId="3" borderId="5" xfId="0" applyNumberFormat="1" applyFont="1" applyFill="1" applyBorder="1" applyAlignment="1">
      <alignment horizontal="center" vertical="center"/>
    </xf>
    <xf numFmtId="2" fontId="3" fillId="3" borderId="6" xfId="0" applyNumberFormat="1" applyFont="1" applyFill="1" applyBorder="1" applyAlignment="1">
      <alignment horizontal="center" vertical="center"/>
    </xf>
  </cellXfs>
  <cellStyles count="2">
    <cellStyle name="Normal" xfId="0" builtinId="0"/>
    <cellStyle name="Percent" xfId="1" builtinId="5"/>
  </cellStyles>
  <dxfs count="5">
    <dxf>
      <font>
        <color rgb="FF9C0006"/>
      </font>
      <fill>
        <patternFill>
          <bgColor rgb="FFFFC7CE"/>
        </patternFill>
      </fil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[pm25_kpi_dashboard.xlsx]calc_sheets!PivotTable2</c:name>
    <c:fmtId val="15"/>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Segoe UI" panose="020B0502040204020203" pitchFamily="34" charset="0"/>
              </a:defRPr>
            </a:pPr>
            <a:r>
              <a:rPr lang="en-US" sz="1400" b="1">
                <a:solidFill>
                  <a:schemeClr val="accent1">
                    <a:lumMod val="75000"/>
                  </a:schemeClr>
                </a:solidFill>
                <a:latin typeface="+mn-lt"/>
                <a:cs typeface="Segoe UI" panose="020B0502040204020203" pitchFamily="34" charset="0"/>
              </a:rPr>
              <a:t>Pediatric Respiratory Strain &amp; Ambient PM2.5 Correlation</a:t>
            </a:r>
            <a:r>
              <a:rPr lang="en-US" sz="1400" b="1" baseline="0">
                <a:solidFill>
                  <a:schemeClr val="accent1">
                    <a:lumMod val="75000"/>
                  </a:schemeClr>
                </a:solidFill>
                <a:latin typeface="+mn-lt"/>
                <a:cs typeface="Segoe UI" panose="020B0502040204020203" pitchFamily="34" charset="0"/>
              </a:rPr>
              <a:t> </a:t>
            </a:r>
            <a:r>
              <a:rPr lang="en-US" sz="1400" b="1">
                <a:solidFill>
                  <a:schemeClr val="accent1">
                    <a:lumMod val="75000"/>
                  </a:schemeClr>
                </a:solidFill>
                <a:latin typeface="+mn-lt"/>
                <a:cs typeface="Segoe UI" panose="020B0502040204020203" pitchFamily="34" charset="0"/>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7.9107320593522287E-17"/>
              <c:y val="-2.553579204616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4.8396854204476487E-3"/>
              <c:y val="-2.188782175385219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4198427102238356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8396854204476713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4.8396854204476487E-3"/>
              <c:y val="-2.188782175385219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4198427102238356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4.8396854204476713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7.9107320593522287E-17"/>
              <c:y val="-2.553579204616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4.8396854204476487E-3"/>
              <c:y val="-2.188782175385219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4198427102238356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4.8396854204476713E-3"/>
              <c:y val="-2.18878217538522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7.9107320593522287E-17"/>
              <c:y val="-2.553579204616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1966817400659"/>
          <c:y val="0.14373809963956768"/>
          <c:w val="0.56957610862643893"/>
          <c:h val="0.41407990474496115"/>
        </c:manualLayout>
      </c:layout>
      <c:barChart>
        <c:barDir val="col"/>
        <c:grouping val="stacked"/>
        <c:varyColors val="0"/>
        <c:ser>
          <c:idx val="0"/>
          <c:order val="0"/>
          <c:tx>
            <c:strRef>
              <c:f>calc_sheets!$B$3</c:f>
              <c:strCache>
                <c:ptCount val="1"/>
                <c:pt idx="0">
                  <c:v>Average of pm25_level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calc_sheets!$A$4:$A$13</c:f>
              <c:multiLvlStrCache>
                <c:ptCount val="5"/>
                <c:lvl>
                  <c:pt idx="0">
                    <c:v>8/14/2024</c:v>
                  </c:pt>
                  <c:pt idx="1">
                    <c:v>8/12/2024</c:v>
                  </c:pt>
                  <c:pt idx="2">
                    <c:v>8/13/2024</c:v>
                  </c:pt>
                  <c:pt idx="3">
                    <c:v>8/12/2024</c:v>
                  </c:pt>
                  <c:pt idx="4">
                    <c:v>(blank)</c:v>
                  </c:pt>
                </c:lvl>
                <c:lvl>
                  <c:pt idx="0">
                    <c:v>East</c:v>
                  </c:pt>
                  <c:pt idx="1">
                    <c:v>North</c:v>
                  </c:pt>
                  <c:pt idx="3">
                    <c:v>South</c:v>
                  </c:pt>
                  <c:pt idx="4">
                    <c:v>(blank)</c:v>
                  </c:pt>
                </c:lvl>
              </c:multiLvlStrCache>
            </c:multiLvlStrRef>
          </c:cat>
          <c:val>
            <c:numRef>
              <c:f>calc_sheets!$B$4:$B$13</c:f>
              <c:numCache>
                <c:formatCode>General</c:formatCode>
                <c:ptCount val="5"/>
                <c:pt idx="0">
                  <c:v>68.5</c:v>
                </c:pt>
                <c:pt idx="1">
                  <c:v>45.2</c:v>
                </c:pt>
                <c:pt idx="2">
                  <c:v>45.2</c:v>
                </c:pt>
                <c:pt idx="3">
                  <c:v>56.85</c:v>
                </c:pt>
              </c:numCache>
            </c:numRef>
          </c:val>
          <c:extLst>
            <c:ext xmlns:c16="http://schemas.microsoft.com/office/drawing/2014/chart" uri="{C3380CC4-5D6E-409C-BE32-E72D297353CC}">
              <c16:uniqueId val="{00000000-8A43-4A40-8CE7-F11B68A31BD4}"/>
            </c:ext>
          </c:extLst>
        </c:ser>
        <c:ser>
          <c:idx val="1"/>
          <c:order val="1"/>
          <c:tx>
            <c:strRef>
              <c:f>calc_sheets!$C$3</c:f>
              <c:strCache>
                <c:ptCount val="1"/>
                <c:pt idx="0">
                  <c:v>Average of ventilator_numeric</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A43-4A40-8CE7-F11B68A31BD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8A43-4A40-8CE7-F11B68A31BD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8A43-4A40-8CE7-F11B68A31BD4}"/>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8A43-4A40-8CE7-F11B68A31BD4}"/>
              </c:ext>
            </c:extLst>
          </c:dPt>
          <c:dLbls>
            <c:dLbl>
              <c:idx val="0"/>
              <c:layout>
                <c:manualLayout>
                  <c:x val="4.8396854204476487E-3"/>
                  <c:y val="-2.18878217538521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43-4A40-8CE7-F11B68A31BD4}"/>
                </c:ext>
              </c:extLst>
            </c:dLbl>
            <c:dLbl>
              <c:idx val="1"/>
              <c:layout>
                <c:manualLayout>
                  <c:x val="2.4198427102238356E-3"/>
                  <c:y val="-2.18878217538522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43-4A40-8CE7-F11B68A31BD4}"/>
                </c:ext>
              </c:extLst>
            </c:dLbl>
            <c:dLbl>
              <c:idx val="2"/>
              <c:layout>
                <c:manualLayout>
                  <c:x val="4.8396854204476713E-3"/>
                  <c:y val="-2.18878217538522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43-4A40-8CE7-F11B68A31BD4}"/>
                </c:ext>
              </c:extLst>
            </c:dLbl>
            <c:dLbl>
              <c:idx val="3"/>
              <c:layout>
                <c:manualLayout>
                  <c:x val="-7.9107320593522287E-17"/>
                  <c:y val="-2.553579204616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43-4A40-8CE7-F11B68A31BD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calc_sheets!$A$4:$A$13</c:f>
              <c:multiLvlStrCache>
                <c:ptCount val="5"/>
                <c:lvl>
                  <c:pt idx="0">
                    <c:v>8/14/2024</c:v>
                  </c:pt>
                  <c:pt idx="1">
                    <c:v>8/12/2024</c:v>
                  </c:pt>
                  <c:pt idx="2">
                    <c:v>8/13/2024</c:v>
                  </c:pt>
                  <c:pt idx="3">
                    <c:v>8/12/2024</c:v>
                  </c:pt>
                  <c:pt idx="4">
                    <c:v>(blank)</c:v>
                  </c:pt>
                </c:lvl>
                <c:lvl>
                  <c:pt idx="0">
                    <c:v>East</c:v>
                  </c:pt>
                  <c:pt idx="1">
                    <c:v>North</c:v>
                  </c:pt>
                  <c:pt idx="3">
                    <c:v>South</c:v>
                  </c:pt>
                  <c:pt idx="4">
                    <c:v>(blank)</c:v>
                  </c:pt>
                </c:lvl>
              </c:multiLvlStrCache>
            </c:multiLvlStrRef>
          </c:cat>
          <c:val>
            <c:numRef>
              <c:f>calc_sheets!$C$4:$C$13</c:f>
              <c:numCache>
                <c:formatCode>0.00%</c:formatCode>
                <c:ptCount val="5"/>
                <c:pt idx="0">
                  <c:v>1</c:v>
                </c:pt>
                <c:pt idx="1">
                  <c:v>0</c:v>
                </c:pt>
                <c:pt idx="2">
                  <c:v>0</c:v>
                </c:pt>
                <c:pt idx="3">
                  <c:v>1</c:v>
                </c:pt>
              </c:numCache>
            </c:numRef>
          </c:val>
          <c:extLst>
            <c:ext xmlns:c16="http://schemas.microsoft.com/office/drawing/2014/chart" uri="{C3380CC4-5D6E-409C-BE32-E72D297353CC}">
              <c16:uniqueId val="{00000005-8A43-4A40-8CE7-F11B68A31BD4}"/>
            </c:ext>
          </c:extLst>
        </c:ser>
        <c:dLbls>
          <c:dLblPos val="ctr"/>
          <c:showLegendKey val="0"/>
          <c:showVal val="1"/>
          <c:showCatName val="0"/>
          <c:showSerName val="0"/>
          <c:showPercent val="0"/>
          <c:showBubbleSize val="0"/>
        </c:dLbls>
        <c:gapWidth val="150"/>
        <c:overlap val="100"/>
        <c:axId val="264953568"/>
        <c:axId val="274551616"/>
      </c:barChart>
      <c:catAx>
        <c:axId val="26495356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Date/Zone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74551616"/>
        <c:crosses val="autoZero"/>
        <c:auto val="1"/>
        <c:lblAlgn val="ctr"/>
        <c:lblOffset val="100"/>
        <c:noMultiLvlLbl val="0"/>
      </c:catAx>
      <c:valAx>
        <c:axId val="274551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200">
                    <a:solidFill>
                      <a:schemeClr val="tx1"/>
                    </a:solidFill>
                  </a:rPr>
                  <a:t>PM2.5</a:t>
                </a:r>
                <a:r>
                  <a:rPr lang="en-US">
                    <a:solidFill>
                      <a:schemeClr val="tx1"/>
                    </a:solidFill>
                  </a:rPr>
                  <a:t> (µg/m³)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64953568"/>
        <c:crosses val="autoZero"/>
        <c:crossBetween val="between"/>
      </c:valAx>
      <c:spPr>
        <a:noFill/>
        <a:ln>
          <a:noFill/>
        </a:ln>
        <a:effectLst/>
      </c:spPr>
    </c:plotArea>
    <c:legend>
      <c:legendPos val="r"/>
      <c:layout>
        <c:manualLayout>
          <c:xMode val="edge"/>
          <c:yMode val="edge"/>
          <c:x val="0.69844648161275213"/>
          <c:y val="0.4595262004694679"/>
          <c:w val="0.28860849061126337"/>
          <c:h val="0.1761231439873981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387061</xdr:colOff>
      <xdr:row>7</xdr:row>
      <xdr:rowOff>62345</xdr:rowOff>
    </xdr:from>
    <xdr:ext cx="65" cy="172227"/>
    <xdr:sp macro="" textlink="">
      <xdr:nvSpPr>
        <xdr:cNvPr id="3" name="TextBox 2">
          <a:extLst>
            <a:ext uri="{FF2B5EF4-FFF2-40B4-BE49-F238E27FC236}">
              <a16:creationId xmlns:a16="http://schemas.microsoft.com/office/drawing/2014/main" id="{59BA1A17-9826-CA9D-648A-B42289E2491A}"/>
            </a:ext>
          </a:extLst>
        </xdr:cNvPr>
        <xdr:cNvSpPr txBox="1"/>
      </xdr:nvSpPr>
      <xdr:spPr>
        <a:xfrm>
          <a:off x="5236152" y="14218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1</xdr:col>
      <xdr:colOff>0</xdr:colOff>
      <xdr:row>5</xdr:row>
      <xdr:rowOff>8659</xdr:rowOff>
    </xdr:from>
    <xdr:to>
      <xdr:col>11</xdr:col>
      <xdr:colOff>396586</xdr:colOff>
      <xdr:row>32</xdr:row>
      <xdr:rowOff>41998</xdr:rowOff>
    </xdr:to>
    <xdr:graphicFrame macro="">
      <xdr:nvGraphicFramePr>
        <xdr:cNvPr id="4" name="Chart 3">
          <a:extLst>
            <a:ext uri="{FF2B5EF4-FFF2-40B4-BE49-F238E27FC236}">
              <a16:creationId xmlns:a16="http://schemas.microsoft.com/office/drawing/2014/main" id="{85F4AB90-A6E4-4CA7-90C6-319377465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424296</xdr:colOff>
      <xdr:row>5</xdr:row>
      <xdr:rowOff>8660</xdr:rowOff>
    </xdr:from>
    <xdr:to>
      <xdr:col>14</xdr:col>
      <xdr:colOff>434687</xdr:colOff>
      <xdr:row>12</xdr:row>
      <xdr:rowOff>129888</xdr:rowOff>
    </xdr:to>
    <mc:AlternateContent xmlns:mc="http://schemas.openxmlformats.org/markup-compatibility/2006" xmlns:a14="http://schemas.microsoft.com/office/drawing/2010/main">
      <mc:Choice Requires="a14">
        <xdr:graphicFrame macro="">
          <xdr:nvGraphicFramePr>
            <xdr:cNvPr id="5" name="admission_date">
              <a:extLst>
                <a:ext uri="{FF2B5EF4-FFF2-40B4-BE49-F238E27FC236}">
                  <a16:creationId xmlns:a16="http://schemas.microsoft.com/office/drawing/2014/main" id="{32571E3B-CA3E-439F-9531-1E754E605C07}"/>
                </a:ext>
              </a:extLst>
            </xdr:cNvPr>
            <xdr:cNvGraphicFramePr/>
          </xdr:nvGraphicFramePr>
          <xdr:xfrm>
            <a:off x="0" y="0"/>
            <a:ext cx="0" cy="0"/>
          </xdr:xfrm>
          <a:graphic>
            <a:graphicData uri="http://schemas.microsoft.com/office/drawing/2010/slicer">
              <sle:slicer xmlns:sle="http://schemas.microsoft.com/office/drawing/2010/slicer" name="admission_date"/>
            </a:graphicData>
          </a:graphic>
        </xdr:graphicFrame>
      </mc:Choice>
      <mc:Fallback xmlns="">
        <xdr:sp macro="" textlink="">
          <xdr:nvSpPr>
            <xdr:cNvPr id="0" name=""/>
            <xdr:cNvSpPr>
              <a:spLocks noTextEdit="1"/>
            </xdr:cNvSpPr>
          </xdr:nvSpPr>
          <xdr:spPr>
            <a:xfrm>
              <a:off x="7091796" y="987137"/>
              <a:ext cx="1828800" cy="1454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432954</xdr:colOff>
      <xdr:row>13</xdr:row>
      <xdr:rowOff>8660</xdr:rowOff>
    </xdr:from>
    <xdr:to>
      <xdr:col>14</xdr:col>
      <xdr:colOff>443345</xdr:colOff>
      <xdr:row>20</xdr:row>
      <xdr:rowOff>103910</xdr:rowOff>
    </xdr:to>
    <mc:AlternateContent xmlns:mc="http://schemas.openxmlformats.org/markup-compatibility/2006" xmlns:a14="http://schemas.microsoft.com/office/drawing/2010/main">
      <mc:Choice Requires="a14">
        <xdr:graphicFrame macro="">
          <xdr:nvGraphicFramePr>
            <xdr:cNvPr id="6" name="hospital_zone">
              <a:extLst>
                <a:ext uri="{FF2B5EF4-FFF2-40B4-BE49-F238E27FC236}">
                  <a16:creationId xmlns:a16="http://schemas.microsoft.com/office/drawing/2014/main" id="{C05AA560-EE79-4C2B-9312-5EFDD72B1072}"/>
                </a:ext>
              </a:extLst>
            </xdr:cNvPr>
            <xdr:cNvGraphicFramePr/>
          </xdr:nvGraphicFramePr>
          <xdr:xfrm>
            <a:off x="0" y="0"/>
            <a:ext cx="0" cy="0"/>
          </xdr:xfrm>
          <a:graphic>
            <a:graphicData uri="http://schemas.microsoft.com/office/drawing/2010/slicer">
              <sle:slicer xmlns:sle="http://schemas.microsoft.com/office/drawing/2010/slicer" name="hospital_zone"/>
            </a:graphicData>
          </a:graphic>
        </xdr:graphicFrame>
      </mc:Choice>
      <mc:Fallback xmlns="">
        <xdr:sp macro="" textlink="">
          <xdr:nvSpPr>
            <xdr:cNvPr id="0" name=""/>
            <xdr:cNvSpPr>
              <a:spLocks noTextEdit="1"/>
            </xdr:cNvSpPr>
          </xdr:nvSpPr>
          <xdr:spPr>
            <a:xfrm>
              <a:off x="7100454" y="2511137"/>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0.52181</cdr:x>
      <cdr:y>0.77385</cdr:y>
    </cdr:from>
    <cdr:to>
      <cdr:x>0.6769</cdr:x>
      <cdr:y>1</cdr:y>
    </cdr:to>
    <cdr:sp macro="" textlink="">
      <cdr:nvSpPr>
        <cdr:cNvPr id="2" name="TextBox 1">
          <a:extLst xmlns:a="http://schemas.openxmlformats.org/drawingml/2006/main">
            <a:ext uri="{FF2B5EF4-FFF2-40B4-BE49-F238E27FC236}">
              <a16:creationId xmlns:a16="http://schemas.microsoft.com/office/drawing/2014/main" id="{6323C78C-71D6-DF39-8B6A-B1379A5E128B}"/>
            </a:ext>
          </a:extLst>
        </cdr:cNvPr>
        <cdr:cNvSpPr txBox="1"/>
      </cdr:nvSpPr>
      <cdr:spPr>
        <a:xfrm xmlns:a="http://schemas.openxmlformats.org/drawingml/2006/main">
          <a:off x="3076574" y="3843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0.38611</cdr:x>
      <cdr:y>0.76442</cdr:y>
    </cdr:from>
    <cdr:to>
      <cdr:x>0.78352</cdr:x>
      <cdr:y>1</cdr:y>
    </cdr:to>
    <cdr:sp macro="" textlink="">
      <cdr:nvSpPr>
        <cdr:cNvPr id="3" name="TextBox 2">
          <a:extLst xmlns:a="http://schemas.openxmlformats.org/drawingml/2006/main">
            <a:ext uri="{FF2B5EF4-FFF2-40B4-BE49-F238E27FC236}">
              <a16:creationId xmlns:a16="http://schemas.microsoft.com/office/drawing/2014/main" id="{4F60F187-E784-4A6E-3816-994B1E9AE2E1}"/>
            </a:ext>
          </a:extLst>
        </cdr:cNvPr>
        <cdr:cNvSpPr txBox="1"/>
      </cdr:nvSpPr>
      <cdr:spPr>
        <a:xfrm xmlns:a="http://schemas.openxmlformats.org/drawingml/2006/main">
          <a:off x="2276474" y="2967039"/>
          <a:ext cx="23431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0.01436</cdr:x>
      <cdr:y>0.72336</cdr:y>
    </cdr:from>
    <cdr:to>
      <cdr:x>0.98673</cdr:x>
      <cdr:y>0.93376</cdr:y>
    </cdr:to>
    <cdr:sp macro="" textlink="">
      <cdr:nvSpPr>
        <cdr:cNvPr id="4" name="TextBox 3">
          <a:extLst xmlns:a="http://schemas.openxmlformats.org/drawingml/2006/main">
            <a:ext uri="{FF2B5EF4-FFF2-40B4-BE49-F238E27FC236}">
              <a16:creationId xmlns:a16="http://schemas.microsoft.com/office/drawing/2014/main" id="{93105115-C2E4-3385-0508-6D1FE00BFFE8}"/>
            </a:ext>
          </a:extLst>
        </cdr:cNvPr>
        <cdr:cNvSpPr txBox="1"/>
      </cdr:nvSpPr>
      <cdr:spPr>
        <a:xfrm xmlns:a="http://schemas.openxmlformats.org/drawingml/2006/main">
          <a:off x="92757" y="3744735"/>
          <a:ext cx="6279468" cy="10892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200" kern="1200"/>
            <a:t>Analysis shows that our baseline ambient air pollution average</a:t>
          </a:r>
          <a:r>
            <a:rPr lang="en-US" sz="1200" kern="1200" baseline="0"/>
            <a:t> </a:t>
          </a:r>
          <a:r>
            <a:rPr lang="en-US" sz="1200" kern="1200"/>
            <a:t>of </a:t>
          </a:r>
          <a:r>
            <a:rPr lang="en-US" sz="1200" b="1" kern="1200"/>
            <a:t>53.94 µg/m³ </a:t>
          </a:r>
          <a:r>
            <a:rPr lang="en-US" sz="1200" kern="1200"/>
            <a:t>corresponds to a</a:t>
          </a:r>
        </a:p>
        <a:p xmlns:a="http://schemas.openxmlformats.org/drawingml/2006/main">
          <a:pPr algn="ctr"/>
          <a:r>
            <a:rPr lang="en-US" sz="1200" kern="1200"/>
            <a:t> baseline pediatric ICU ventilator</a:t>
          </a:r>
          <a:r>
            <a:rPr lang="en-US" sz="1200" kern="1200" baseline="0"/>
            <a:t> </a:t>
          </a:r>
          <a:r>
            <a:rPr lang="en-US" sz="1200" kern="1200"/>
            <a:t>occupancy of </a:t>
          </a:r>
          <a:r>
            <a:rPr lang="en-US" sz="1200" b="1" kern="1200"/>
            <a:t>50%</a:t>
          </a:r>
          <a:r>
            <a:rPr lang="en-US" sz="1200" kern="1200"/>
            <a:t>. Crucially, days when air pollution spikes </a:t>
          </a:r>
          <a:r>
            <a:rPr lang="en-US" sz="1200" b="1" kern="1200"/>
            <a:t>above</a:t>
          </a:r>
        </a:p>
        <a:p xmlns:a="http://schemas.openxmlformats.org/drawingml/2006/main">
          <a:pPr algn="ctr"/>
          <a:r>
            <a:rPr lang="en-US" sz="1200" kern="1200"/>
            <a:t> this historical average directly correlate with clinical surges that push ventilator demand past</a:t>
          </a:r>
        </a:p>
        <a:p xmlns:a="http://schemas.openxmlformats.org/drawingml/2006/main">
          <a:pPr algn="ctr"/>
          <a:r>
            <a:rPr lang="en-US" sz="1200" kern="1200"/>
            <a:t> this 50% baseline. This relationship highlights that even minor pollution spikes threaten clinical</a:t>
          </a:r>
        </a:p>
        <a:p xmlns:a="http://schemas.openxmlformats.org/drawingml/2006/main">
          <a:pPr algn="ctr"/>
          <a:r>
            <a:rPr lang="en-US" sz="1200" kern="1200"/>
            <a:t> capacity, proving the need for real-time SDG 3 &amp; 11 data integration for preventive hospital planning</a:t>
          </a:r>
          <a:r>
            <a:rPr lang="en-US" sz="1100" kern="1200"/>
            <a: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5.321834259259" createdVersion="8" refreshedVersion="8" minRefreshableVersion="3" recordCount="6" xr:uid="{DC13180F-19E5-4EAC-921F-92476F50F3A0}">
  <cacheSource type="worksheet">
    <worksheetSource ref="A1:H7" sheet="stg_data"/>
  </cacheSource>
  <cacheFields count="8">
    <cacheField name="admission_id" numFmtId="0">
      <sharedItems containsString="0" containsBlank="1" containsNumber="1" containsInteger="1" minValue="101" maxValue="104"/>
    </cacheField>
    <cacheField name="admission_date" numFmtId="0">
      <sharedItems containsNonDate="0" containsDate="1" containsString="0" containsBlank="1" minDate="2024-08-12T00:00:00" maxDate="2024-08-15T00:00:00" count="4">
        <d v="2024-08-12T00:00:00"/>
        <d v="2024-08-13T00:00:00"/>
        <d v="2024-08-14T00:00:00"/>
        <m/>
      </sharedItems>
    </cacheField>
    <cacheField name="age" numFmtId="0">
      <sharedItems containsString="0" containsBlank="1" containsNumber="1" containsInteger="1" minValue="3" maxValue="12"/>
    </cacheField>
    <cacheField name="respiratory_condition" numFmtId="0">
      <sharedItems containsBlank="1"/>
    </cacheField>
    <cacheField name="pm25_level" numFmtId="0">
      <sharedItems containsString="0" containsBlank="1" containsNumber="1" minValue="45.2" maxValue="68.5"/>
    </cacheField>
    <cacheField name="hospital_zone" numFmtId="0">
      <sharedItems containsBlank="1" count="4">
        <s v="North"/>
        <s v="South"/>
        <s v="East"/>
        <m/>
      </sharedItems>
    </cacheField>
    <cacheField name="ventilator_used" numFmtId="0">
      <sharedItems containsBlank="1"/>
    </cacheField>
    <cacheField name="ventilator_numeric"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pivotCacheId="1103335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1"/>
    <x v="0"/>
    <n v="5"/>
    <s v="Asthma"/>
    <n v="45.2"/>
    <x v="0"/>
    <b v="0"/>
    <x v="0"/>
  </r>
  <r>
    <n v="102"/>
    <x v="0"/>
    <n v="8"/>
    <s v="Bronchitis"/>
    <n v="56.85"/>
    <x v="1"/>
    <b v="1"/>
    <x v="1"/>
  </r>
  <r>
    <n v="103"/>
    <x v="1"/>
    <n v="12"/>
    <s v="Asthma"/>
    <n v="45.2"/>
    <x v="0"/>
    <b v="0"/>
    <x v="0"/>
  </r>
  <r>
    <n v="104"/>
    <x v="2"/>
    <n v="3"/>
    <s v="Pneumonia"/>
    <n v="68.5"/>
    <x v="2"/>
    <b v="1"/>
    <x v="1"/>
  </r>
  <r>
    <m/>
    <x v="3"/>
    <m/>
    <m/>
    <m/>
    <x v="3"/>
    <m/>
    <x v="2"/>
  </r>
  <r>
    <m/>
    <x v="3"/>
    <m/>
    <m/>
    <m/>
    <x v="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491D2-E369-435E-9CDE-17B959C87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3" firstHeaderRow="0" firstDataRow="1" firstDataCol="1"/>
  <pivotFields count="8">
    <pivotField showAll="0"/>
    <pivotField axis="axisRow" showAll="0">
      <items count="5">
        <item x="0"/>
        <item x="1"/>
        <item x="2"/>
        <item x="3"/>
        <item t="default"/>
      </items>
    </pivotField>
    <pivotField showAll="0"/>
    <pivotField showAll="0"/>
    <pivotField dataField="1" showAll="0"/>
    <pivotField axis="axisRow" showAll="0">
      <items count="5">
        <item x="2"/>
        <item x="0"/>
        <item x="1"/>
        <item x="3"/>
        <item t="default"/>
      </items>
    </pivotField>
    <pivotField showAll="0"/>
    <pivotField dataField="1" showAll="0">
      <items count="4">
        <item x="0"/>
        <item x="1"/>
        <item x="2"/>
        <item t="default"/>
      </items>
    </pivotField>
  </pivotFields>
  <rowFields count="2">
    <field x="5"/>
    <field x="1"/>
  </rowFields>
  <rowItems count="10">
    <i>
      <x/>
    </i>
    <i r="1">
      <x v="2"/>
    </i>
    <i>
      <x v="1"/>
    </i>
    <i r="1">
      <x/>
    </i>
    <i r="1">
      <x v="1"/>
    </i>
    <i>
      <x v="2"/>
    </i>
    <i r="1">
      <x/>
    </i>
    <i>
      <x v="3"/>
    </i>
    <i r="1">
      <x v="3"/>
    </i>
    <i t="grand">
      <x/>
    </i>
  </rowItems>
  <colFields count="1">
    <field x="-2"/>
  </colFields>
  <colItems count="2">
    <i>
      <x/>
    </i>
    <i i="1">
      <x v="1"/>
    </i>
  </colItems>
  <dataFields count="2">
    <dataField name="Average of pm25_level" fld="4" subtotal="average" baseField="5" baseItem="0"/>
    <dataField name="Average of ventilator_numeric" fld="7" subtotal="average" baseField="5" baseItem="1" numFmtId="1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9">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7" format="3">
      <pivotArea type="data" outline="0" fieldPosition="0">
        <references count="3">
          <reference field="4294967294" count="1" selected="0">
            <x v="1"/>
          </reference>
          <reference field="1" count="1" selected="0">
            <x v="0"/>
          </reference>
          <reference field="5" count="1" selected="0">
            <x v="2"/>
          </reference>
        </references>
      </pivotArea>
    </chartFormat>
    <chartFormat chart="7" format="4">
      <pivotArea type="data" outline="0" fieldPosition="0">
        <references count="3">
          <reference field="4294967294" count="1" selected="0">
            <x v="1"/>
          </reference>
          <reference field="1" count="1" selected="0">
            <x v="2"/>
          </reference>
          <reference field="5" count="1" selected="0">
            <x v="0"/>
          </reference>
        </references>
      </pivotArea>
    </chartFormat>
    <chartFormat chart="7" format="5">
      <pivotArea type="data" outline="0" fieldPosition="0">
        <references count="3">
          <reference field="4294967294" count="1" selected="0">
            <x v="1"/>
          </reference>
          <reference field="1" count="1" selected="0">
            <x v="0"/>
          </reference>
          <reference field="5" count="1" selected="0">
            <x v="1"/>
          </reference>
        </references>
      </pivotArea>
    </chartFormat>
    <chartFormat chart="7" format="6">
      <pivotArea type="data" outline="0" fieldPosition="0">
        <references count="3">
          <reference field="4294967294" count="1" selected="0">
            <x v="1"/>
          </reference>
          <reference field="1" count="1" selected="0">
            <x v="1"/>
          </reference>
          <reference field="5" count="1" selected="0">
            <x v="1"/>
          </reference>
        </references>
      </pivotArea>
    </chartFormat>
    <chartFormat chart="7" format="7">
      <pivotArea type="data" outline="0" fieldPosition="0">
        <references count="3">
          <reference field="4294967294" count="1" selected="0">
            <x v="0"/>
          </reference>
          <reference field="1" count="1" selected="0">
            <x v="2"/>
          </reference>
          <reference field="5"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pivotArea type="data" outline="0" fieldPosition="0">
        <references count="3">
          <reference field="4294967294" count="1" selected="0">
            <x v="1"/>
          </reference>
          <reference field="1" count="1" selected="0">
            <x v="2"/>
          </reference>
          <reference field="5" count="1" selected="0">
            <x v="0"/>
          </reference>
        </references>
      </pivotArea>
    </chartFormat>
    <chartFormat chart="14" format="12">
      <pivotArea type="data" outline="0" fieldPosition="0">
        <references count="3">
          <reference field="4294967294" count="1" selected="0">
            <x v="1"/>
          </reference>
          <reference field="1" count="1" selected="0">
            <x v="0"/>
          </reference>
          <reference field="5" count="1" selected="0">
            <x v="1"/>
          </reference>
        </references>
      </pivotArea>
    </chartFormat>
    <chartFormat chart="14" format="13">
      <pivotArea type="data" outline="0" fieldPosition="0">
        <references count="3">
          <reference field="4294967294" count="1" selected="0">
            <x v="1"/>
          </reference>
          <reference field="1" count="1" selected="0">
            <x v="1"/>
          </reference>
          <reference field="5" count="1" selected="0">
            <x v="1"/>
          </reference>
        </references>
      </pivotArea>
    </chartFormat>
    <chartFormat chart="14" format="14">
      <pivotArea type="data" outline="0" fieldPosition="0">
        <references count="3">
          <reference field="4294967294" count="1" selected="0">
            <x v="1"/>
          </reference>
          <reference field="1" count="1" selected="0">
            <x v="0"/>
          </reference>
          <reference field="5" count="1" selected="0">
            <x v="2"/>
          </reference>
        </references>
      </pivotArea>
    </chartFormat>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1"/>
          </reference>
        </references>
      </pivotArea>
    </chartFormat>
    <chartFormat chart="15" format="17">
      <pivotArea type="data" outline="0" fieldPosition="0">
        <references count="3">
          <reference field="4294967294" count="1" selected="0">
            <x v="1"/>
          </reference>
          <reference field="1" count="1" selected="0">
            <x v="2"/>
          </reference>
          <reference field="5" count="1" selected="0">
            <x v="0"/>
          </reference>
        </references>
      </pivotArea>
    </chartFormat>
    <chartFormat chart="15" format="18">
      <pivotArea type="data" outline="0" fieldPosition="0">
        <references count="3">
          <reference field="4294967294" count="1" selected="0">
            <x v="1"/>
          </reference>
          <reference field="1" count="1" selected="0">
            <x v="0"/>
          </reference>
          <reference field="5" count="1" selected="0">
            <x v="1"/>
          </reference>
        </references>
      </pivotArea>
    </chartFormat>
    <chartFormat chart="15" format="19">
      <pivotArea type="data" outline="0" fieldPosition="0">
        <references count="3">
          <reference field="4294967294" count="1" selected="0">
            <x v="1"/>
          </reference>
          <reference field="1" count="1" selected="0">
            <x v="1"/>
          </reference>
          <reference field="5" count="1" selected="0">
            <x v="1"/>
          </reference>
        </references>
      </pivotArea>
    </chartFormat>
    <chartFormat chart="15" format="20">
      <pivotArea type="data" outline="0" fieldPosition="0">
        <references count="3">
          <reference field="4294967294" count="1" selected="0">
            <x v="1"/>
          </reference>
          <reference field="1"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FEA486-D676-46A4-B55F-B193E774FAB8}" autoFormatId="16" applyNumberFormats="0" applyBorderFormats="0" applyFontFormats="0" applyPatternFormats="0" applyAlignmentFormats="0" applyWidthHeightFormats="0">
  <queryTableRefresh nextId="12" unboundColumnsRight="1">
    <queryTableFields count="8">
      <queryTableField id="1" name="admission_id" tableColumnId="1"/>
      <queryTableField id="2" name="admission_date" tableColumnId="2"/>
      <queryTableField id="3" name="age" tableColumnId="3"/>
      <queryTableField id="4" name="respiratory_condition" tableColumnId="4"/>
      <queryTableField id="5" name="pm25_level" tableColumnId="5"/>
      <queryTableField id="6" name="hospital_zone" tableColumnId="6"/>
      <queryTableField id="7" name="ventilator_used" tableColumnId="7"/>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date" xr10:uid="{E7FAC4A2-3118-4652-9C2F-69F82113C714}" sourceName="admission_date">
  <pivotTables>
    <pivotTable tabId="1" name="PivotTable2"/>
  </pivotTables>
  <data>
    <tabular pivotCacheId="1103335478">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zone" xr10:uid="{5F48C197-3C04-4D90-8F28-806697DAA6C6}" sourceName="hospital_zone">
  <pivotTables>
    <pivotTable tabId="1" name="PivotTable2"/>
  </pivotTables>
  <data>
    <tabular pivotCacheId="1103335478">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_date" xr10:uid="{5ADE5CF8-0878-478A-BD67-8290B766EED7}" cache="Slicer_admission_date" caption="admission_date" rowHeight="241300"/>
  <slicer name="hospital_zone" xr10:uid="{29B132B4-2938-4737-AC67-9CF3B0F74A13}" cache="Slicer_hospital_zone" caption="hospital_zon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4269B-0402-40A7-99B9-C52696C5195C}" name="clean_pediatric_admissions" displayName="clean_pediatric_admissions" ref="A1:H6" tableType="queryTable" totalsRowShown="0">
  <autoFilter ref="A1:H6" xr:uid="{5C64269B-0402-40A7-99B9-C52696C5195C}"/>
  <tableColumns count="8">
    <tableColumn id="1" xr3:uid="{B07DE838-00F7-4B88-A842-F568B01B6B80}" uniqueName="1" name="admission_id" queryTableFieldId="1"/>
    <tableColumn id="2" xr3:uid="{6351C3FA-5D22-446A-B6CF-5649F5878F39}" uniqueName="2" name="admission_date" queryTableFieldId="2" dataDxfId="4"/>
    <tableColumn id="3" xr3:uid="{AEE80314-332F-4634-97A0-0BBE53175BC7}" uniqueName="3" name="age" queryTableFieldId="3"/>
    <tableColumn id="4" xr3:uid="{CFB8608A-BFA9-4F45-93D2-77148BF12BF7}" uniqueName="4" name="respiratory_condition" queryTableFieldId="4" dataDxfId="3"/>
    <tableColumn id="5" xr3:uid="{41125B36-3FB3-4357-8448-0CEAF241013F}" uniqueName="5" name="pm25_level" queryTableFieldId="5"/>
    <tableColumn id="6" xr3:uid="{BA1BAE02-24F8-485A-B8D4-79188069DF1B}" uniqueName="6" name="hospital_zone" queryTableFieldId="6" dataDxfId="2"/>
    <tableColumn id="7" xr3:uid="{6B8F4725-517E-4227-BE41-DCDC3F15F0C6}" uniqueName="7" name="ventilator_used" queryTableFieldId="7"/>
    <tableColumn id="11" xr3:uid="{DA9D37BE-2CD3-490A-94F7-FC982C86BCDA}" uniqueName="11" name="ventilator_numeric" queryTableFieldId="11" dataDxfId="1">
      <calculatedColumnFormula>IF(G2="FALSE", 0, 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2947-ECF7-4690-8647-BCBF5840880F}">
  <dimension ref="A1:H6"/>
  <sheetViews>
    <sheetView zoomScale="98" zoomScaleNormal="98" workbookViewId="0">
      <selection activeCell="F3" sqref="F3"/>
    </sheetView>
  </sheetViews>
  <sheetFormatPr defaultRowHeight="15" x14ac:dyDescent="0.25"/>
  <cols>
    <col min="1" max="1" width="15" bestFit="1" customWidth="1"/>
    <col min="2" max="2" width="17.42578125" bestFit="1" customWidth="1"/>
    <col min="3" max="3" width="6.42578125" bestFit="1" customWidth="1"/>
    <col min="4" max="4" width="22.7109375" bestFit="1" customWidth="1"/>
    <col min="5" max="5" width="13.5703125" bestFit="1" customWidth="1"/>
    <col min="6" max="6" width="15.85546875" bestFit="1" customWidth="1"/>
    <col min="7" max="7" width="17.42578125" bestFit="1" customWidth="1"/>
    <col min="8" max="8" width="20.5703125" bestFit="1" customWidth="1"/>
    <col min="9" max="10" width="11.140625" bestFit="1" customWidth="1"/>
  </cols>
  <sheetData>
    <row r="1" spans="1:8" x14ac:dyDescent="0.25">
      <c r="A1" t="s">
        <v>0</v>
      </c>
      <c r="B1" t="s">
        <v>1</v>
      </c>
      <c r="C1" t="s">
        <v>2</v>
      </c>
      <c r="D1" t="s">
        <v>3</v>
      </c>
      <c r="E1" t="s">
        <v>4</v>
      </c>
      <c r="F1" t="s">
        <v>5</v>
      </c>
      <c r="G1" t="s">
        <v>6</v>
      </c>
      <c r="H1" t="s">
        <v>17</v>
      </c>
    </row>
    <row r="2" spans="1:8" x14ac:dyDescent="0.25">
      <c r="A2">
        <v>101</v>
      </c>
      <c r="B2" s="1">
        <v>45516</v>
      </c>
      <c r="C2">
        <v>5</v>
      </c>
      <c r="D2" t="s">
        <v>7</v>
      </c>
      <c r="E2">
        <v>45.2</v>
      </c>
      <c r="F2" t="s">
        <v>8</v>
      </c>
      <c r="G2" t="b">
        <v>0</v>
      </c>
      <c r="H2">
        <f>IF(G2= FALSE, 0, 1)</f>
        <v>0</v>
      </c>
    </row>
    <row r="3" spans="1:8" x14ac:dyDescent="0.25">
      <c r="A3">
        <v>102</v>
      </c>
      <c r="B3" s="1">
        <v>45516</v>
      </c>
      <c r="C3">
        <v>8</v>
      </c>
      <c r="D3" t="s">
        <v>9</v>
      </c>
      <c r="E3">
        <v>56.85</v>
      </c>
      <c r="F3" t="s">
        <v>10</v>
      </c>
      <c r="G3" t="b">
        <v>1</v>
      </c>
      <c r="H3">
        <f t="shared" ref="H3:H5" si="0">IF(G3= FALSE, 0, 1)</f>
        <v>1</v>
      </c>
    </row>
    <row r="4" spans="1:8" x14ac:dyDescent="0.25">
      <c r="A4">
        <v>103</v>
      </c>
      <c r="B4" s="1">
        <v>45517</v>
      </c>
      <c r="C4">
        <v>12</v>
      </c>
      <c r="D4" t="s">
        <v>7</v>
      </c>
      <c r="E4">
        <v>45.2</v>
      </c>
      <c r="F4" t="s">
        <v>8</v>
      </c>
      <c r="G4" t="b">
        <v>0</v>
      </c>
      <c r="H4">
        <f t="shared" si="0"/>
        <v>0</v>
      </c>
    </row>
    <row r="5" spans="1:8" x14ac:dyDescent="0.25">
      <c r="A5">
        <v>104</v>
      </c>
      <c r="B5" s="1">
        <v>45518</v>
      </c>
      <c r="C5">
        <v>3</v>
      </c>
      <c r="D5" t="s">
        <v>11</v>
      </c>
      <c r="E5">
        <v>68.5</v>
      </c>
      <c r="F5" t="s">
        <v>12</v>
      </c>
      <c r="G5" t="b">
        <v>1</v>
      </c>
      <c r="H5">
        <f t="shared" si="0"/>
        <v>1</v>
      </c>
    </row>
    <row r="6" spans="1:8" x14ac:dyDescent="0.25">
      <c r="B6"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4941-10DA-426C-9A5F-0D8C56E3DE1C}">
  <dimension ref="A3:C13"/>
  <sheetViews>
    <sheetView workbookViewId="0">
      <selection activeCell="A9" sqref="A9"/>
    </sheetView>
  </sheetViews>
  <sheetFormatPr defaultRowHeight="15" x14ac:dyDescent="0.25"/>
  <cols>
    <col min="1" max="1" width="13.42578125" bestFit="1" customWidth="1"/>
    <col min="2" max="2" width="21.7109375" bestFit="1" customWidth="1"/>
    <col min="3" max="3" width="28.5703125" bestFit="1" customWidth="1"/>
    <col min="4" max="4" width="19.5703125" bestFit="1" customWidth="1"/>
    <col min="5" max="5" width="28.5703125" bestFit="1" customWidth="1"/>
  </cols>
  <sheetData>
    <row r="3" spans="1:3" x14ac:dyDescent="0.25">
      <c r="A3" s="2" t="s">
        <v>13</v>
      </c>
      <c r="B3" t="s">
        <v>16</v>
      </c>
      <c r="C3" t="s">
        <v>18</v>
      </c>
    </row>
    <row r="4" spans="1:3" x14ac:dyDescent="0.25">
      <c r="A4" s="3" t="s">
        <v>12</v>
      </c>
      <c r="B4">
        <v>68.5</v>
      </c>
      <c r="C4" s="4">
        <v>1</v>
      </c>
    </row>
    <row r="5" spans="1:3" x14ac:dyDescent="0.25">
      <c r="A5" s="7">
        <v>45518</v>
      </c>
      <c r="B5">
        <v>68.5</v>
      </c>
      <c r="C5" s="4">
        <v>1</v>
      </c>
    </row>
    <row r="6" spans="1:3" x14ac:dyDescent="0.25">
      <c r="A6" s="3" t="s">
        <v>8</v>
      </c>
      <c r="B6">
        <v>45.2</v>
      </c>
      <c r="C6" s="4">
        <v>0</v>
      </c>
    </row>
    <row r="7" spans="1:3" x14ac:dyDescent="0.25">
      <c r="A7" s="7">
        <v>45516</v>
      </c>
      <c r="B7">
        <v>45.2</v>
      </c>
      <c r="C7" s="4">
        <v>0</v>
      </c>
    </row>
    <row r="8" spans="1:3" x14ac:dyDescent="0.25">
      <c r="A8" s="7">
        <v>45517</v>
      </c>
      <c r="B8">
        <v>45.2</v>
      </c>
      <c r="C8" s="4">
        <v>0</v>
      </c>
    </row>
    <row r="9" spans="1:3" x14ac:dyDescent="0.25">
      <c r="A9" s="3" t="s">
        <v>10</v>
      </c>
      <c r="B9">
        <v>56.85</v>
      </c>
      <c r="C9" s="4">
        <v>1</v>
      </c>
    </row>
    <row r="10" spans="1:3" x14ac:dyDescent="0.25">
      <c r="A10" s="7">
        <v>45516</v>
      </c>
      <c r="B10">
        <v>56.85</v>
      </c>
      <c r="C10" s="4">
        <v>1</v>
      </c>
    </row>
    <row r="11" spans="1:3" x14ac:dyDescent="0.25">
      <c r="A11" s="3" t="s">
        <v>14</v>
      </c>
      <c r="C11" s="4"/>
    </row>
    <row r="12" spans="1:3" x14ac:dyDescent="0.25">
      <c r="A12" s="8" t="s">
        <v>14</v>
      </c>
      <c r="C12" s="4"/>
    </row>
    <row r="13" spans="1:3" x14ac:dyDescent="0.25">
      <c r="A13" s="3" t="s">
        <v>15</v>
      </c>
      <c r="B13">
        <v>53.9375</v>
      </c>
      <c r="C13" s="4">
        <v>0.5</v>
      </c>
    </row>
  </sheetData>
  <conditionalFormatting pivot="1" sqref="B4:B13">
    <cfRule type="cellIs" dxfId="0" priority="1" operator="greaterThan">
      <formula>53.94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83C0-7749-4C15-AC31-7C6E484C07C7}">
  <dimension ref="B2:I7"/>
  <sheetViews>
    <sheetView tabSelected="1" zoomScale="110" zoomScaleNormal="110" workbookViewId="0">
      <selection activeCell="N3" sqref="N3"/>
    </sheetView>
  </sheetViews>
  <sheetFormatPr defaultRowHeight="15" x14ac:dyDescent="0.25"/>
  <sheetData>
    <row r="2" spans="2:9" ht="15" customHeight="1" x14ac:dyDescent="0.25">
      <c r="B2" s="9">
        <f>INDEX(calc_sheets!$C$4:$C$13, MATCH("Grand Total", calc_sheets!$A$4:$A$13, 0))</f>
        <v>0.5</v>
      </c>
      <c r="C2" s="10"/>
      <c r="F2" s="15">
        <f>INDEX(calc_sheets!$B$4:$B$13, MATCH( "Grand Total", calc_sheets!$A$4:$A$13, 0))</f>
        <v>53.9375</v>
      </c>
      <c r="G2" s="16"/>
    </row>
    <row r="3" spans="2:9" ht="15" customHeight="1" x14ac:dyDescent="0.25">
      <c r="B3" s="11"/>
      <c r="C3" s="12"/>
      <c r="F3" s="17"/>
      <c r="G3" s="18"/>
    </row>
    <row r="4" spans="2:9" ht="15" customHeight="1" x14ac:dyDescent="0.25">
      <c r="B4" s="13"/>
      <c r="C4" s="14"/>
      <c r="F4" s="19"/>
      <c r="G4" s="20"/>
      <c r="I4" s="5"/>
    </row>
    <row r="5" spans="2:9" ht="17.25" customHeight="1" x14ac:dyDescent="0.25">
      <c r="B5" s="6" t="s">
        <v>19</v>
      </c>
      <c r="F5" s="6" t="s">
        <v>20</v>
      </c>
    </row>
    <row r="6" spans="2:9" ht="15" customHeight="1" x14ac:dyDescent="0.25"/>
    <row r="7" spans="2:9" ht="15" customHeight="1" x14ac:dyDescent="0.25"/>
  </sheetData>
  <mergeCells count="2">
    <mergeCell ref="B2:C4"/>
    <mergeCell ref="F2:G4"/>
  </mergeCells>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499F79-846F-4196-829A-5F880E3B16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stg_data</vt:lpstr>
      <vt:lpstr>calc_sheets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Abdulrazak Ahmed</dc:creator>
  <cp:lastModifiedBy>Aminat Ahmed</cp:lastModifiedBy>
  <dcterms:created xsi:type="dcterms:W3CDTF">2026-08-19T16:23:27Z</dcterms:created>
  <dcterms:modified xsi:type="dcterms:W3CDTF">2026-08-27T12:19:55Z</dcterms:modified>
</cp:coreProperties>
</file>